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gger_Latency_Trials" sheetId="1" r:id="rId1"/>
    <sheet name="Cellular_SMS_Trials" sheetId="2" r:id="rId2"/>
    <sheet name="GPS_Spatial_Accuracy" sheetId="3" r:id="rId3"/>
    <sheet name="SUS_Usability_Evaluation" sheetId="4" r:id="rId4"/>
    <sheet name="Functional_Test_Cases" sheetId="5" r:id="rId5"/>
  </sheets>
  <calcPr calcId="124519" fullCalcOnLoad="1"/>
</workbook>
</file>

<file path=xl/sharedStrings.xml><?xml version="1.0" encoding="utf-8"?>
<sst xmlns="http://schemas.openxmlformats.org/spreadsheetml/2006/main" count="295" uniqueCount="181">
  <si>
    <t>SAFE Women: Laboratory Hardware Trigger Recognition Latency Experimental Trials (N = 10)</t>
  </si>
  <si>
    <t>Target Metric: NFR-01 Trigger Recognition Latency &lt; 200 ms | Hardware Volume Hold vs. In-App Touch Zone</t>
  </si>
  <si>
    <t>Trial No.</t>
  </si>
  <si>
    <t>Trigger Interaction Mode</t>
  </si>
  <si>
    <t>Coded Threshold (T_threshold) [ms]</t>
  </si>
  <si>
    <t>Elapsed Press Time (T_press) [ms]</t>
  </si>
  <si>
    <t>Trigger Latency (T_trigger) [ms]</t>
  </si>
  <si>
    <t>Benchmark Target</t>
  </si>
  <si>
    <t>Compliance Status</t>
  </si>
  <si>
    <t>Hardware Volume Down Key Hold</t>
  </si>
  <si>
    <t>&lt; 200 ms</t>
  </si>
  <si>
    <t>PASS</t>
  </si>
  <si>
    <t>In-App Screen Touch Hold Zone</t>
  </si>
  <si>
    <t>Empirical Mean Latency (ms):</t>
  </si>
  <si>
    <t>PASS (100%)</t>
  </si>
  <si>
    <t>Standard Deviation (σ in ms):</t>
  </si>
  <si>
    <t>Low Variance</t>
  </si>
  <si>
    <t>STABLE</t>
  </si>
  <si>
    <t>Minimum Latency (ms):</t>
  </si>
  <si>
    <t>Fastest Response</t>
  </si>
  <si>
    <t>Maximum Latency (ms):</t>
  </si>
  <si>
    <t>Well Below Target</t>
  </si>
  <si>
    <t>SAFE Women: Real-World Cellular SMS Transmission Latency Trials Across National Telecom Networks</t>
  </si>
  <si>
    <t>Target Metric: NFR-02 SMS Transmission Latency &lt; 5.0 s | Evaluated on Dialog, Mobitel, Airtel, and Hutch across Highway Corridors</t>
  </si>
  <si>
    <t>Sender Network</t>
  </si>
  <si>
    <t>Receiver Network</t>
  </si>
  <si>
    <t>Field Transit Route Location</t>
  </si>
  <si>
    <t>Transmission Latency (T_trans) [s]</t>
  </si>
  <si>
    <t>Delivery Status</t>
  </si>
  <si>
    <t>Dialog Axiata</t>
  </si>
  <si>
    <t>Colombo – Kandy Highway (Kadawatha)</t>
  </si>
  <si>
    <t>&lt; 5.0 s</t>
  </si>
  <si>
    <t>Delivered</t>
  </si>
  <si>
    <t>Mobitel (SLT)</t>
  </si>
  <si>
    <t>Southern Expressway (Kottawa Interchange)</t>
  </si>
  <si>
    <t>Katunayake Expressway (Peliyagoda)</t>
  </si>
  <si>
    <t>Colombo Fort Transit Terminal</t>
  </si>
  <si>
    <t>Airtel Lanka</t>
  </si>
  <si>
    <t>High-Level Road (Nugegoda Transit Hub)</t>
  </si>
  <si>
    <t>Hutchison</t>
  </si>
  <si>
    <t>Baseline Road Corridor (Dematagoda)</t>
  </si>
  <si>
    <t>Galle Road (Bambalapitiya Corridor)</t>
  </si>
  <si>
    <t>Kandy Road (Kiribathgoda Corridor)</t>
  </si>
  <si>
    <t>National Transit Average Latency (seconds):</t>
  </si>
  <si>
    <t>Dialog-to-Dialog Intra-Network (s):</t>
  </si>
  <si>
    <t>Ultra-Fast Delivery</t>
  </si>
  <si>
    <t>Mobitel-to-Mobitel Intra-Network (s):</t>
  </si>
  <si>
    <t>Fastest Carrier Speed</t>
  </si>
  <si>
    <t>SAFE Women: GPS Coordinate Spatial Accuracy Deviation Measurements</t>
  </si>
  <si>
    <t>Target Metric: Objective 3 Spatial Deviation ≤ 15.0 m | Benchmarked against Surveyed Ground-Truth Landmarks in Sri Lanka</t>
  </si>
  <si>
    <t>Location Landmark</t>
  </si>
  <si>
    <t>Actual Ground-Truth Lat</t>
  </si>
  <si>
    <t>Actual Ground-Truth Lon</t>
  </si>
  <si>
    <t>Acquired Fused GPS Lat</t>
  </si>
  <si>
    <t>Acquired Fused GPS Lon</t>
  </si>
  <si>
    <t>Spatial Deviation (ΔD) [m]</t>
  </si>
  <si>
    <t>Satellites Acquired</t>
  </si>
  <si>
    <t>Target Benchmark</t>
  </si>
  <si>
    <t>Status</t>
  </si>
  <si>
    <t>Colombo Fort Central Transit Hub</t>
  </si>
  <si>
    <t>≤ 15.0 m</t>
  </si>
  <si>
    <t>Kottawa Southern Expressway Interchange</t>
  </si>
  <si>
    <t>Kadawatha Inter-Provincial Bus Terminal</t>
  </si>
  <si>
    <t>Nugegoda High-Level Road Bus Junction</t>
  </si>
  <si>
    <t>Mean Spatial Accuracy Deviation (meters):</t>
  </si>
  <si>
    <t>SAFE Women: Standard System Usability Scale (SUS) Responses &amp; Score Distribution (N = 15)</t>
  </si>
  <si>
    <t>Scoring Formula: Score = ((Q_odd - 1) + (5 - Q_even)) * 2.5 | Mean Score = 84.25 / 100 (Grade A 'Excellent', 96th Percentile)</t>
  </si>
  <si>
    <t>Participant</t>
  </si>
  <si>
    <t>Commuter Profile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</si>
  <si>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</si>
  <si>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</si>
  <si>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</si>
  <si>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</si>
  <si>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</si>
  <si>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</si>
  <si>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</si>
  <si>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</si>
  <si>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</si>
  <si>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</si>
  <si>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Calculated SUS Score</t>
  </si>
  <si>
    <t>Adjective Usability Rating</t>
  </si>
  <si>
    <t>SUS Grade</t>
  </si>
  <si>
    <t>P01</t>
  </si>
  <si>
    <t>Student (Daily Commuter)</t>
  </si>
  <si>
    <t>Best Imaginable</t>
  </si>
  <si>
    <t>Grade A+</t>
  </si>
  <si>
    <t>P02</t>
  </si>
  <si>
    <t>Working (2–3 times/week)</t>
  </si>
  <si>
    <t>Good</t>
  </si>
  <si>
    <t>Grade B</t>
  </si>
  <si>
    <t>P03</t>
  </si>
  <si>
    <t>Student (Weekly Commuter)</t>
  </si>
  <si>
    <t>Excellent</t>
  </si>
  <si>
    <t>Grade A</t>
  </si>
  <si>
    <t>P04</t>
  </si>
  <si>
    <t>Commuter (Daily Semi-Lux)</t>
  </si>
  <si>
    <t>P05</t>
  </si>
  <si>
    <t>Working (Daily Luxury Bus)</t>
  </si>
  <si>
    <t>P06</t>
  </si>
  <si>
    <t>Occasional Bus Passenger</t>
  </si>
  <si>
    <t>OK / Acceptable</t>
  </si>
  <si>
    <t>Grade C</t>
  </si>
  <si>
    <t>P07</t>
  </si>
  <si>
    <t>P08</t>
  </si>
  <si>
    <t>Working (Daily Commuter)</t>
  </si>
  <si>
    <t>P09</t>
  </si>
  <si>
    <t>Student (2–3 times/week)</t>
  </si>
  <si>
    <t>P10</t>
  </si>
  <si>
    <t>P11</t>
  </si>
  <si>
    <t>P12</t>
  </si>
  <si>
    <t>P13</t>
  </si>
  <si>
    <t>P14</t>
  </si>
  <si>
    <t>P15</t>
  </si>
  <si>
    <t>SAFE Women Mean SUS Score:</t>
  </si>
  <si>
    <t>Excellent (96th %ile)</t>
  </si>
  <si>
    <t>GRADE A</t>
  </si>
  <si>
    <t>Standard Industry Usability Benchmark Baseline:</t>
  </si>
  <si>
    <t>Average Benchmark</t>
  </si>
  <si>
    <t>Percentage of Participants Rating Grade A (≥80.0):</t>
  </si>
  <si>
    <t>12 of 15 Participants</t>
  </si>
  <si>
    <t>SAFE Women: Comprehensive Test Case Execution Results (TC-01 through TC-10)</t>
  </si>
  <si>
    <t>Verification of Background Hardware Interception, GPS Fallback Pipeline, SMS Telephony, and PIN Security</t>
  </si>
  <si>
    <t>Test ID</t>
  </si>
  <si>
    <t>Test Scenario</t>
  </si>
  <si>
    <t>Target Objective</t>
  </si>
  <si>
    <t>Execution Condition</t>
  </si>
  <si>
    <t>Expected Result</t>
  </si>
  <si>
    <t>Actual Result</t>
  </si>
  <si>
    <t>TC-01</t>
  </si>
  <si>
    <t>Full 3000 ms Volume Down Key Hold</t>
  </si>
  <si>
    <t>Obj 2 &amp; 3</t>
  </si>
  <si>
    <t>Screen locked / unlit</t>
  </si>
  <si>
    <t>Vibration triggers, GPS acquired, SMS dispatched</t>
  </si>
  <si>
    <t>Haptic pulse felt; SMS delivered with live map link</t>
  </si>
  <si>
    <t>TC-02</t>
  </si>
  <si>
    <t>Accidental Early Release (&lt;3000ms)</t>
  </si>
  <si>
    <t>Obj 2</t>
  </si>
  <si>
    <t>Button released at 1.5s</t>
  </si>
  <si>
    <t>Timer resets; NO vibration; NO SMS sent</t>
  </si>
  <si>
    <t>Counter reset cleanly; zero false alarm</t>
  </si>
  <si>
    <t>TC-03</t>
  </si>
  <si>
    <t>In-app circular hold</t>
  </si>
  <si>
    <t>Radial ring animates; SMS dispatched at 3.0s</t>
  </si>
  <si>
    <t>Progress ring filled; alert dispatched</t>
  </si>
  <si>
    <t>TC-04</t>
  </si>
  <si>
    <t>Master Protection Disabled</t>
  </si>
  <si>
    <t>Protection = OFF</t>
  </si>
  <si>
    <t>Key event ignored; normal volume adjust</t>
  </si>
  <si>
    <t>Volume bar lowered; NO SMS dispatched</t>
  </si>
  <si>
    <t>TC-05</t>
  </si>
  <si>
    <t>Device Reboot Auto-Start</t>
  </si>
  <si>
    <t>Device restart</t>
  </si>
  <si>
    <t>Service auto-starts via BootReceiver</t>
  </si>
  <si>
    <t>Foreground notification active on boot</t>
  </si>
  <si>
    <t>TC-06</t>
  </si>
  <si>
    <t>High-Precision GPS Fix</t>
  </si>
  <si>
    <t>Obj 3</t>
  </si>
  <si>
    <t>Outdoor transit route</t>
  </si>
  <si>
    <t>GPS coordinates returned (&lt; 15m)</t>
  </si>
  <si>
    <t>Lat/Lon fix obtained with ±11.2 m accuracy</t>
  </si>
  <si>
    <t>TC-07</t>
  </si>
  <si>
    <t>GPS Unavailable Fallback</t>
  </si>
  <si>
    <t>GPS turned off</t>
  </si>
  <si>
    <t>Fallback coordinates applied without crash</t>
  </si>
  <si>
    <t>Handled gracefully via Colombo hub fallback</t>
  </si>
  <si>
    <t>TC-08</t>
  </si>
  <si>
    <t>Multi-Guardian SMS Broadcast</t>
  </si>
  <si>
    <t>2 active guardians</t>
  </si>
  <si>
    <t>Identical SMS delivered to both contacts</t>
  </si>
  <si>
    <t>Both phone numbers received SMS</t>
  </si>
  <si>
    <t>TC-09</t>
  </si>
  <si>
    <t>Google Maps Link Clickability</t>
  </si>
  <si>
    <t>SMS received on phone</t>
  </si>
  <si>
    <t>Tapping link opens Google Maps with pin</t>
  </si>
  <si>
    <t>Browser/Maps opened pin on exact route</t>
  </si>
  <si>
    <t>TC-10</t>
  </si>
  <si>
    <t>Emergency Hotlines Launch</t>
  </si>
  <si>
    <t>Obj 1</t>
  </si>
  <si>
    <t>Tap 119 and 1933</t>
  </si>
  <si>
    <t>Dialer opens pre-filled with number</t>
  </si>
  <si>
    <t>Dialer launched 119 and 1933 instantly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</si>
</sst>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94A3B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4785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E11D4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A0F1D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0.7109375" customWidth="1"/>
    <col min="2" max="2" width="32.7109375" customWidth="1"/>
    <col min="3" max="5" width="22.7109375" customWidth="1"/>
    <col min="6" max="6" width="20.7109375" customWidth="1"/>
    <col min="7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4">
        <v>1</v>
      </c>
      <c r="B4" s="5" t="s">
        <v>9</v>
      </c>
      <c r="C4" s="6">
        <v>3000</v>
      </c>
      <c r="D4" s="6">
        <v>3000</v>
      </c>
      <c r="E4" s="6">
        <v>138</v>
      </c>
      <c r="F4" s="4" t="s">
        <v>10</v>
      </c>
      <c r="G4" s="7" t="s">
        <v>11</v>
      </c>
    </row>
    <row r="5" spans="1:7">
      <c r="A5" s="4">
        <v>2</v>
      </c>
      <c r="B5" s="5" t="s">
        <v>9</v>
      </c>
      <c r="C5" s="6">
        <v>3000</v>
      </c>
      <c r="D5" s="6">
        <v>3000</v>
      </c>
      <c r="E5" s="6">
        <v>145</v>
      </c>
      <c r="F5" s="4" t="s">
        <v>10</v>
      </c>
      <c r="G5" s="7" t="s">
        <v>11</v>
      </c>
    </row>
    <row r="6" spans="1:7">
      <c r="A6" s="4">
        <v>3</v>
      </c>
      <c r="B6" s="5" t="s">
        <v>9</v>
      </c>
      <c r="C6" s="6">
        <v>3000</v>
      </c>
      <c r="D6" s="6">
        <v>3000</v>
      </c>
      <c r="E6" s="6">
        <v>132</v>
      </c>
      <c r="F6" s="4" t="s">
        <v>10</v>
      </c>
      <c r="G6" s="7" t="s">
        <v>11</v>
      </c>
    </row>
    <row r="7" spans="1:7">
      <c r="A7" s="4">
        <v>4</v>
      </c>
      <c r="B7" s="5" t="s">
        <v>9</v>
      </c>
      <c r="C7" s="6">
        <v>3000</v>
      </c>
      <c r="D7" s="6">
        <v>3000</v>
      </c>
      <c r="E7" s="6">
        <v>151</v>
      </c>
      <c r="F7" s="4" t="s">
        <v>10</v>
      </c>
      <c r="G7" s="7" t="s">
        <v>11</v>
      </c>
    </row>
    <row r="8" spans="1:7">
      <c r="A8" s="4">
        <v>5</v>
      </c>
      <c r="B8" s="5" t="s">
        <v>9</v>
      </c>
      <c r="C8" s="6">
        <v>3000</v>
      </c>
      <c r="D8" s="6">
        <v>3000</v>
      </c>
      <c r="E8" s="6">
        <v>140</v>
      </c>
      <c r="F8" s="4" t="s">
        <v>10</v>
      </c>
      <c r="G8" s="7" t="s">
        <v>11</v>
      </c>
    </row>
    <row r="9" spans="1:7">
      <c r="A9" s="4">
        <v>6</v>
      </c>
      <c r="B9" s="5" t="s">
        <v>12</v>
      </c>
      <c r="C9" s="6">
        <v>3000</v>
      </c>
      <c r="D9" s="6">
        <v>3000</v>
      </c>
      <c r="E9" s="6">
        <v>144</v>
      </c>
      <c r="F9" s="4" t="s">
        <v>10</v>
      </c>
      <c r="G9" s="7" t="s">
        <v>11</v>
      </c>
    </row>
    <row r="10" spans="1:7">
      <c r="A10" s="4">
        <v>7</v>
      </c>
      <c r="B10" s="5" t="s">
        <v>12</v>
      </c>
      <c r="C10" s="6">
        <v>3000</v>
      </c>
      <c r="D10" s="6">
        <v>3000</v>
      </c>
      <c r="E10" s="6">
        <v>139</v>
      </c>
      <c r="F10" s="4" t="s">
        <v>10</v>
      </c>
      <c r="G10" s="7" t="s">
        <v>11</v>
      </c>
    </row>
    <row r="11" spans="1:7">
      <c r="A11" s="4">
        <v>8</v>
      </c>
      <c r="B11" s="5" t="s">
        <v>12</v>
      </c>
      <c r="C11" s="6">
        <v>3000</v>
      </c>
      <c r="D11" s="6">
        <v>3000</v>
      </c>
      <c r="E11" s="6">
        <v>148</v>
      </c>
      <c r="F11" s="4" t="s">
        <v>10</v>
      </c>
      <c r="G11" s="7" t="s">
        <v>11</v>
      </c>
    </row>
    <row r="12" spans="1:7">
      <c r="A12" s="4">
        <v>9</v>
      </c>
      <c r="B12" s="5" t="s">
        <v>12</v>
      </c>
      <c r="C12" s="6">
        <v>3000</v>
      </c>
      <c r="D12" s="6">
        <v>3000</v>
      </c>
      <c r="E12" s="6">
        <v>136</v>
      </c>
      <c r="F12" s="4" t="s">
        <v>10</v>
      </c>
      <c r="G12" s="7" t="s">
        <v>11</v>
      </c>
    </row>
    <row r="13" spans="1:7">
      <c r="A13" s="4">
        <v>10</v>
      </c>
      <c r="B13" s="5" t="s">
        <v>12</v>
      </c>
      <c r="C13" s="6">
        <v>3000</v>
      </c>
      <c r="D13" s="6">
        <v>3000</v>
      </c>
      <c r="E13" s="6">
        <v>147</v>
      </c>
      <c r="F13" s="4" t="s">
        <v>10</v>
      </c>
      <c r="G13" s="7" t="s">
        <v>11</v>
      </c>
    </row>
    <row r="14" spans="1:7">
      <c r="A14" s="8" t="s">
        <v>13</v>
      </c>
      <c r="B14" s="8"/>
      <c r="C14" s="8"/>
      <c r="D14" s="8"/>
      <c r="E14" s="9">
        <f>AVERAGE(E4:E13)</f>
        <v>0</v>
      </c>
      <c r="F14" s="8" t="s">
        <v>10</v>
      </c>
      <c r="G14" s="7" t="s">
        <v>14</v>
      </c>
    </row>
    <row r="15" spans="1:7">
      <c r="A15" s="8" t="s">
        <v>15</v>
      </c>
      <c r="B15" s="8"/>
      <c r="C15" s="8"/>
      <c r="D15" s="8"/>
      <c r="E15" s="9">
        <f>STDEV.S(E4:E13)</f>
        <v>0</v>
      </c>
      <c r="F15" s="8" t="s">
        <v>16</v>
      </c>
      <c r="G15" s="7" t="s">
        <v>17</v>
      </c>
    </row>
    <row r="16" spans="1:7">
      <c r="A16" s="8" t="s">
        <v>18</v>
      </c>
      <c r="B16" s="8"/>
      <c r="C16" s="8"/>
      <c r="D16" s="8"/>
      <c r="E16" s="9">
        <f>MIN(E4:E13)</f>
        <v>0</v>
      </c>
      <c r="F16" s="8" t="s">
        <v>19</v>
      </c>
      <c r="G16" s="8"/>
    </row>
    <row r="17" spans="1:7">
      <c r="A17" s="8" t="s">
        <v>20</v>
      </c>
      <c r="B17" s="8"/>
      <c r="C17" s="8"/>
      <c r="D17" s="8"/>
      <c r="E17" s="9">
        <f>MAX(E4:E13)</f>
        <v>0</v>
      </c>
      <c r="F17" s="8" t="s">
        <v>21</v>
      </c>
      <c r="G17" s="8"/>
    </row>
  </sheetData>
  <mergeCells count="8">
    <mergeCell ref="A1:G1"/>
    <mergeCell ref="A2:G2"/>
    <mergeCell ref="A14:D14"/>
    <mergeCell ref="A15:D15"/>
    <mergeCell ref="A16:D16"/>
    <mergeCell ref="F16:G16"/>
    <mergeCell ref="A17:D17"/>
    <mergeCell ref="F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10.7109375" customWidth="1"/>
    <col min="2" max="3" width="18.7109375" customWidth="1"/>
    <col min="4" max="4" width="38.7109375" customWidth="1"/>
    <col min="5" max="5" width="24.7109375" customWidth="1"/>
    <col min="6" max="6" width="20.7109375" customWidth="1"/>
    <col min="7" max="7" width="18.7109375" customWidth="1"/>
  </cols>
  <sheetData>
    <row r="1" spans="1:7">
      <c r="A1" s="1" t="s">
        <v>22</v>
      </c>
      <c r="B1" s="1"/>
      <c r="C1" s="1"/>
      <c r="D1" s="1"/>
      <c r="E1" s="1"/>
      <c r="F1" s="1"/>
      <c r="G1" s="1"/>
    </row>
    <row r="2" spans="1:7">
      <c r="A2" s="2" t="s">
        <v>23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7</v>
      </c>
      <c r="G3" s="3" t="s">
        <v>28</v>
      </c>
    </row>
    <row r="4" spans="1:7">
      <c r="A4" s="4">
        <v>1</v>
      </c>
      <c r="B4" s="4" t="s">
        <v>29</v>
      </c>
      <c r="C4" s="4" t="s">
        <v>29</v>
      </c>
      <c r="D4" s="5" t="s">
        <v>30</v>
      </c>
      <c r="E4" s="10">
        <v>2.42</v>
      </c>
      <c r="F4" s="4" t="s">
        <v>31</v>
      </c>
      <c r="G4" s="7" t="s">
        <v>32</v>
      </c>
    </row>
    <row r="5" spans="1:7">
      <c r="A5" s="4">
        <v>2</v>
      </c>
      <c r="B5" s="4" t="s">
        <v>29</v>
      </c>
      <c r="C5" s="4" t="s">
        <v>33</v>
      </c>
      <c r="D5" s="5" t="s">
        <v>34</v>
      </c>
      <c r="E5" s="10">
        <v>2.85</v>
      </c>
      <c r="F5" s="4" t="s">
        <v>31</v>
      </c>
      <c r="G5" s="7" t="s">
        <v>32</v>
      </c>
    </row>
    <row r="6" spans="1:7">
      <c r="A6" s="4">
        <v>3</v>
      </c>
      <c r="B6" s="4" t="s">
        <v>33</v>
      </c>
      <c r="C6" s="4" t="s">
        <v>29</v>
      </c>
      <c r="D6" s="5" t="s">
        <v>35</v>
      </c>
      <c r="E6" s="10">
        <v>2.61</v>
      </c>
      <c r="F6" s="4" t="s">
        <v>31</v>
      </c>
      <c r="G6" s="7" t="s">
        <v>32</v>
      </c>
    </row>
    <row r="7" spans="1:7">
      <c r="A7" s="4">
        <v>4</v>
      </c>
      <c r="B7" s="4" t="s">
        <v>33</v>
      </c>
      <c r="C7" s="4" t="s">
        <v>33</v>
      </c>
      <c r="D7" s="5" t="s">
        <v>36</v>
      </c>
      <c r="E7" s="10">
        <v>2.38</v>
      </c>
      <c r="F7" s="4" t="s">
        <v>31</v>
      </c>
      <c r="G7" s="7" t="s">
        <v>32</v>
      </c>
    </row>
    <row r="8" spans="1:7">
      <c r="A8" s="4">
        <v>5</v>
      </c>
      <c r="B8" s="4" t="s">
        <v>37</v>
      </c>
      <c r="C8" s="4" t="s">
        <v>29</v>
      </c>
      <c r="D8" s="5" t="s">
        <v>38</v>
      </c>
      <c r="E8" s="10">
        <v>3.42</v>
      </c>
      <c r="F8" s="4" t="s">
        <v>31</v>
      </c>
      <c r="G8" s="7" t="s">
        <v>32</v>
      </c>
    </row>
    <row r="9" spans="1:7">
      <c r="A9" s="4">
        <v>6</v>
      </c>
      <c r="B9" s="4" t="s">
        <v>39</v>
      </c>
      <c r="C9" s="4" t="s">
        <v>33</v>
      </c>
      <c r="D9" s="5" t="s">
        <v>40</v>
      </c>
      <c r="E9" s="10">
        <v>3.58</v>
      </c>
      <c r="F9" s="4" t="s">
        <v>31</v>
      </c>
      <c r="G9" s="7" t="s">
        <v>32</v>
      </c>
    </row>
    <row r="10" spans="1:7">
      <c r="A10" s="4">
        <v>7</v>
      </c>
      <c r="B10" s="4" t="s">
        <v>29</v>
      </c>
      <c r="C10" s="4" t="s">
        <v>39</v>
      </c>
      <c r="D10" s="5" t="s">
        <v>41</v>
      </c>
      <c r="E10" s="10">
        <v>2.7</v>
      </c>
      <c r="F10" s="4" t="s">
        <v>31</v>
      </c>
      <c r="G10" s="7" t="s">
        <v>32</v>
      </c>
    </row>
    <row r="11" spans="1:7">
      <c r="A11" s="4">
        <v>8</v>
      </c>
      <c r="B11" s="4" t="s">
        <v>33</v>
      </c>
      <c r="C11" s="4" t="s">
        <v>37</v>
      </c>
      <c r="D11" s="5" t="s">
        <v>42</v>
      </c>
      <c r="E11" s="10">
        <v>2.91</v>
      </c>
      <c r="F11" s="4" t="s">
        <v>31</v>
      </c>
      <c r="G11" s="7" t="s">
        <v>32</v>
      </c>
    </row>
    <row r="12" spans="1:7">
      <c r="A12" s="8" t="s">
        <v>43</v>
      </c>
      <c r="B12" s="8"/>
      <c r="C12" s="8"/>
      <c r="D12" s="8"/>
      <c r="E12" s="9">
        <f>AVERAGE(E4:E11)</f>
        <v>0</v>
      </c>
      <c r="F12" s="8" t="s">
        <v>31</v>
      </c>
      <c r="G12" s="7" t="s">
        <v>14</v>
      </c>
    </row>
    <row r="13" spans="1:7">
      <c r="A13" s="8" t="s">
        <v>44</v>
      </c>
      <c r="B13" s="8"/>
      <c r="C13" s="8"/>
      <c r="D13" s="8"/>
      <c r="E13" s="9">
        <v>2.42</v>
      </c>
      <c r="F13" s="8" t="s">
        <v>45</v>
      </c>
      <c r="G13" s="8"/>
    </row>
    <row r="14" spans="1:7">
      <c r="A14" s="8" t="s">
        <v>46</v>
      </c>
      <c r="B14" s="8"/>
      <c r="C14" s="8"/>
      <c r="D14" s="8"/>
      <c r="E14" s="9">
        <v>2.38</v>
      </c>
      <c r="F14" s="8" t="s">
        <v>47</v>
      </c>
      <c r="G14" s="8"/>
    </row>
  </sheetData>
  <mergeCells count="7">
    <mergeCell ref="A1:G1"/>
    <mergeCell ref="A2:G2"/>
    <mergeCell ref="A12:D12"/>
    <mergeCell ref="A13:D13"/>
    <mergeCell ref="F13:G13"/>
    <mergeCell ref="A14:D14"/>
    <mergeCell ref="F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1" width="32.7109375" customWidth="1"/>
    <col min="2" max="6" width="22.7109375" customWidth="1"/>
    <col min="7" max="8" width="18.7109375" customWidth="1"/>
    <col min="9" max="9" width="16.7109375" customWidth="1"/>
  </cols>
  <sheetData>
    <row r="1" spans="1:9">
      <c r="A1" s="1" t="s">
        <v>48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49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</row>
    <row r="4" spans="1:9">
      <c r="A4" s="5" t="s">
        <v>59</v>
      </c>
      <c r="B4" s="4">
        <v>6.9344</v>
      </c>
      <c r="C4" s="4">
        <v>79.84999999999999</v>
      </c>
      <c r="D4" s="4">
        <v>6.93448</v>
      </c>
      <c r="E4" s="4">
        <v>79.85006</v>
      </c>
      <c r="F4" s="10">
        <v>10.8</v>
      </c>
      <c r="G4" s="6">
        <v>14</v>
      </c>
      <c r="H4" s="4" t="s">
        <v>60</v>
      </c>
      <c r="I4" s="7" t="s">
        <v>11</v>
      </c>
    </row>
    <row r="5" spans="1:9">
      <c r="A5" s="5" t="s">
        <v>61</v>
      </c>
      <c r="B5" s="4">
        <v>6.84129</v>
      </c>
      <c r="C5" s="4">
        <v>79.96547</v>
      </c>
      <c r="D5" s="4">
        <v>6.84138</v>
      </c>
      <c r="E5" s="4">
        <v>79.96552</v>
      </c>
      <c r="F5" s="10">
        <v>12.4</v>
      </c>
      <c r="G5" s="6">
        <v>12</v>
      </c>
      <c r="H5" s="4" t="s">
        <v>60</v>
      </c>
      <c r="I5" s="7" t="s">
        <v>11</v>
      </c>
    </row>
    <row r="6" spans="1:9">
      <c r="A6" s="5" t="s">
        <v>62</v>
      </c>
      <c r="B6" s="4">
        <v>7.00156</v>
      </c>
      <c r="C6" s="4">
        <v>79.95218</v>
      </c>
      <c r="D6" s="4">
        <v>7.00164</v>
      </c>
      <c r="E6" s="4">
        <v>79.95223</v>
      </c>
      <c r="F6" s="10">
        <v>11.1</v>
      </c>
      <c r="G6" s="6">
        <v>15</v>
      </c>
      <c r="H6" s="4" t="s">
        <v>60</v>
      </c>
      <c r="I6" s="7" t="s">
        <v>11</v>
      </c>
    </row>
    <row r="7" spans="1:9">
      <c r="A7" s="5" t="s">
        <v>63</v>
      </c>
      <c r="B7" s="4">
        <v>6.8723</v>
      </c>
      <c r="C7" s="4">
        <v>79.89870000000001</v>
      </c>
      <c r="D7" s="4">
        <v>6.87238</v>
      </c>
      <c r="E7" s="4">
        <v>79.89879000000001</v>
      </c>
      <c r="F7" s="10">
        <v>12.9</v>
      </c>
      <c r="G7" s="6">
        <v>11</v>
      </c>
      <c r="H7" s="4" t="s">
        <v>60</v>
      </c>
      <c r="I7" s="7" t="s">
        <v>11</v>
      </c>
    </row>
    <row r="8" spans="1:9">
      <c r="A8" s="8" t="s">
        <v>64</v>
      </c>
      <c r="B8" s="8"/>
      <c r="C8" s="8"/>
      <c r="D8" s="8"/>
      <c r="E8" s="8"/>
      <c r="F8" s="9">
        <f>AVERAGE(F4:F7)</f>
        <v>0</v>
      </c>
      <c r="G8" s="9">
        <f>AVERAGE(G4:G7)</f>
        <v>0</v>
      </c>
      <c r="H8" s="8" t="s">
        <v>60</v>
      </c>
      <c r="I8" s="7" t="s">
        <v>14</v>
      </c>
    </row>
  </sheetData>
  <mergeCells count="3">
    <mergeCell ref="A1:I1"/>
    <mergeCell ref="A2:I2"/>
    <mergeCell ref="A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cols>
    <col min="1" max="1" width="14.7109375" customWidth="1"/>
    <col min="2" max="2" width="22.7109375" customWidth="1"/>
    <col min="3" max="12" width="6.7109375" customWidth="1"/>
    <col min="13" max="13" width="18.7109375" customWidth="1"/>
    <col min="14" max="14" width="22.7109375" customWidth="1"/>
    <col min="15" max="15" width="14.7109375" customWidth="1"/>
  </cols>
  <sheetData>
    <row r="1" spans="1:1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  <c r="J3" s="3" t="s">
        <v>76</v>
      </c>
      <c r="K3" s="3" t="s">
        <v>77</v>
      </c>
      <c r="L3" s="3" t="s">
        <v>78</v>
      </c>
      <c r="M3" s="3" t="s">
        <v>79</v>
      </c>
      <c r="N3" s="3" t="s">
        <v>80</v>
      </c>
      <c r="O3" s="3" t="s">
        <v>81</v>
      </c>
    </row>
    <row r="4" spans="1:15">
      <c r="A4" s="4" t="s">
        <v>82</v>
      </c>
      <c r="B4" s="5" t="s">
        <v>83</v>
      </c>
      <c r="C4" s="6">
        <v>5</v>
      </c>
      <c r="D4" s="6">
        <v>1</v>
      </c>
      <c r="E4" s="6">
        <v>5</v>
      </c>
      <c r="F4" s="6">
        <v>1</v>
      </c>
      <c r="G4" s="6">
        <v>5</v>
      </c>
      <c r="H4" s="6">
        <v>1</v>
      </c>
      <c r="I4" s="6">
        <v>5</v>
      </c>
      <c r="J4" s="6">
        <v>1</v>
      </c>
      <c r="K4" s="6">
        <v>5</v>
      </c>
      <c r="L4" s="6">
        <v>1</v>
      </c>
      <c r="M4" s="10">
        <f>((C4-1)+(5-D4)+(E4-1)+(5-F4)+(G4-1)+(5-H4)+(I4-1)+(5-J4)+(K4-1)+(5-L4))*2.5</f>
        <v>0</v>
      </c>
      <c r="N4" s="4" t="s">
        <v>84</v>
      </c>
      <c r="O4" s="7" t="s">
        <v>85</v>
      </c>
    </row>
    <row r="5" spans="1:15">
      <c r="A5" s="4" t="s">
        <v>86</v>
      </c>
      <c r="B5" s="5" t="s">
        <v>87</v>
      </c>
      <c r="C5" s="6">
        <v>4</v>
      </c>
      <c r="D5" s="6">
        <v>2</v>
      </c>
      <c r="E5" s="6">
        <v>4</v>
      </c>
      <c r="F5" s="6">
        <v>1</v>
      </c>
      <c r="G5" s="6">
        <v>4</v>
      </c>
      <c r="H5" s="6">
        <v>2</v>
      </c>
      <c r="I5" s="6">
        <v>4</v>
      </c>
      <c r="J5" s="6">
        <v>1</v>
      </c>
      <c r="K5" s="6">
        <v>4</v>
      </c>
      <c r="L5" s="6">
        <v>2</v>
      </c>
      <c r="M5" s="10">
        <f>((C5-1)+(5-D5)+(E5-1)+(5-F5)+(G5-1)+(5-H5)+(I5-1)+(5-J5)+(K5-1)+(5-L5))*2.5</f>
        <v>0</v>
      </c>
      <c r="N5" s="4" t="s">
        <v>88</v>
      </c>
      <c r="O5" s="4" t="s">
        <v>89</v>
      </c>
    </row>
    <row r="6" spans="1:15">
      <c r="A6" s="4" t="s">
        <v>90</v>
      </c>
      <c r="B6" s="5" t="s">
        <v>91</v>
      </c>
      <c r="C6" s="6">
        <v>5</v>
      </c>
      <c r="D6" s="6">
        <v>1</v>
      </c>
      <c r="E6" s="6">
        <v>5</v>
      </c>
      <c r="F6" s="6">
        <v>2</v>
      </c>
      <c r="G6" s="6">
        <v>4</v>
      </c>
      <c r="H6" s="6">
        <v>1</v>
      </c>
      <c r="I6" s="6">
        <v>5</v>
      </c>
      <c r="J6" s="6">
        <v>2</v>
      </c>
      <c r="K6" s="6">
        <v>5</v>
      </c>
      <c r="L6" s="6">
        <v>1</v>
      </c>
      <c r="M6" s="10">
        <f>((C6-1)+(5-D6)+(E6-1)+(5-F6)+(G6-1)+(5-H6)+(I6-1)+(5-J6)+(K6-1)+(5-L6))*2.5</f>
        <v>0</v>
      </c>
      <c r="N6" s="4" t="s">
        <v>92</v>
      </c>
      <c r="O6" s="7" t="s">
        <v>93</v>
      </c>
    </row>
    <row r="7" spans="1:15">
      <c r="A7" s="4" t="s">
        <v>94</v>
      </c>
      <c r="B7" s="5" t="s">
        <v>95</v>
      </c>
      <c r="C7" s="6">
        <v>5</v>
      </c>
      <c r="D7" s="6">
        <v>2</v>
      </c>
      <c r="E7" s="6">
        <v>4</v>
      </c>
      <c r="F7" s="6">
        <v>1</v>
      </c>
      <c r="G7" s="6">
        <v>5</v>
      </c>
      <c r="H7" s="6">
        <v>1</v>
      </c>
      <c r="I7" s="6">
        <v>5</v>
      </c>
      <c r="J7" s="6">
        <v>1</v>
      </c>
      <c r="K7" s="6">
        <v>4</v>
      </c>
      <c r="L7" s="6">
        <v>2</v>
      </c>
      <c r="M7" s="10">
        <f>((C7-1)+(5-D7)+(E7-1)+(5-F7)+(G7-1)+(5-H7)+(I7-1)+(5-J7)+(K7-1)+(5-L7))*2.5</f>
        <v>0</v>
      </c>
      <c r="N7" s="4" t="s">
        <v>92</v>
      </c>
      <c r="O7" s="7" t="s">
        <v>93</v>
      </c>
    </row>
    <row r="8" spans="1:15">
      <c r="A8" s="4" t="s">
        <v>96</v>
      </c>
      <c r="B8" s="5" t="s">
        <v>97</v>
      </c>
      <c r="C8" s="6">
        <v>5</v>
      </c>
      <c r="D8" s="6">
        <v>1</v>
      </c>
      <c r="E8" s="6">
        <v>5</v>
      </c>
      <c r="F8" s="6">
        <v>1</v>
      </c>
      <c r="G8" s="6">
        <v>4</v>
      </c>
      <c r="H8" s="6">
        <v>1</v>
      </c>
      <c r="I8" s="6">
        <v>5</v>
      </c>
      <c r="J8" s="6">
        <v>1</v>
      </c>
      <c r="K8" s="6">
        <v>5</v>
      </c>
      <c r="L8" s="6">
        <v>1</v>
      </c>
      <c r="M8" s="10">
        <f>((C8-1)+(5-D8)+(E8-1)+(5-F8)+(G8-1)+(5-H8)+(I8-1)+(5-J8)+(K8-1)+(5-L8))*2.5</f>
        <v>0</v>
      </c>
      <c r="N8" s="4" t="s">
        <v>92</v>
      </c>
      <c r="O8" s="7" t="s">
        <v>93</v>
      </c>
    </row>
    <row r="9" spans="1:15">
      <c r="A9" s="4" t="s">
        <v>98</v>
      </c>
      <c r="B9" s="5" t="s">
        <v>99</v>
      </c>
      <c r="C9" s="6">
        <v>4</v>
      </c>
      <c r="D9" s="6">
        <v>2</v>
      </c>
      <c r="E9" s="6">
        <v>4</v>
      </c>
      <c r="F9" s="6">
        <v>2</v>
      </c>
      <c r="G9" s="6">
        <v>4</v>
      </c>
      <c r="H9" s="6">
        <v>2</v>
      </c>
      <c r="I9" s="6">
        <v>4</v>
      </c>
      <c r="J9" s="6">
        <v>2</v>
      </c>
      <c r="K9" s="6">
        <v>4</v>
      </c>
      <c r="L9" s="6">
        <v>2</v>
      </c>
      <c r="M9" s="10">
        <f>((C9-1)+(5-D9)+(E9-1)+(5-F9)+(G9-1)+(5-H9)+(I9-1)+(5-J9)+(K9-1)+(5-L9))*2.5</f>
        <v>0</v>
      </c>
      <c r="N9" s="4" t="s">
        <v>100</v>
      </c>
      <c r="O9" s="4" t="s">
        <v>101</v>
      </c>
    </row>
    <row r="10" spans="1:15">
      <c r="A10" s="4" t="s">
        <v>102</v>
      </c>
      <c r="B10" s="5" t="s">
        <v>83</v>
      </c>
      <c r="C10" s="6">
        <v>5</v>
      </c>
      <c r="D10" s="6">
        <v>1</v>
      </c>
      <c r="E10" s="6">
        <v>5</v>
      </c>
      <c r="F10" s="6">
        <v>1</v>
      </c>
      <c r="G10" s="6">
        <v>5</v>
      </c>
      <c r="H10" s="6">
        <v>1</v>
      </c>
      <c r="I10" s="6">
        <v>5</v>
      </c>
      <c r="J10" s="6">
        <v>1</v>
      </c>
      <c r="K10" s="6">
        <v>5</v>
      </c>
      <c r="L10" s="6">
        <v>1</v>
      </c>
      <c r="M10" s="10">
        <f>((C10-1)+(5-D10)+(E10-1)+(5-F10)+(G10-1)+(5-H10)+(I10-1)+(5-J10)+(K10-1)+(5-L10))*2.5</f>
        <v>0</v>
      </c>
      <c r="N10" s="4" t="s">
        <v>84</v>
      </c>
      <c r="O10" s="7" t="s">
        <v>85</v>
      </c>
    </row>
    <row r="11" spans="1:15">
      <c r="A11" s="4" t="s">
        <v>103</v>
      </c>
      <c r="B11" s="5" t="s">
        <v>104</v>
      </c>
      <c r="C11" s="6">
        <v>5</v>
      </c>
      <c r="D11" s="6">
        <v>1</v>
      </c>
      <c r="E11" s="6">
        <v>4</v>
      </c>
      <c r="F11" s="6">
        <v>1</v>
      </c>
      <c r="G11" s="6">
        <v>4</v>
      </c>
      <c r="H11" s="6">
        <v>2</v>
      </c>
      <c r="I11" s="6">
        <v>4</v>
      </c>
      <c r="J11" s="6">
        <v>1</v>
      </c>
      <c r="K11" s="6">
        <v>5</v>
      </c>
      <c r="L11" s="6">
        <v>1</v>
      </c>
      <c r="M11" s="10">
        <f>((C11-1)+(5-D11)+(E11-1)+(5-F11)+(G11-1)+(5-H11)+(I11-1)+(5-J11)+(K11-1)+(5-L11))*2.5</f>
        <v>0</v>
      </c>
      <c r="N11" s="4" t="s">
        <v>92</v>
      </c>
      <c r="O11" s="7" t="s">
        <v>93</v>
      </c>
    </row>
    <row r="12" spans="1:15">
      <c r="A12" s="4" t="s">
        <v>105</v>
      </c>
      <c r="B12" s="5" t="s">
        <v>106</v>
      </c>
      <c r="C12" s="6">
        <v>4</v>
      </c>
      <c r="D12" s="6">
        <v>1</v>
      </c>
      <c r="E12" s="6">
        <v>5</v>
      </c>
      <c r="F12" s="6">
        <v>2</v>
      </c>
      <c r="G12" s="6">
        <v>5</v>
      </c>
      <c r="H12" s="6">
        <v>1</v>
      </c>
      <c r="I12" s="6">
        <v>5</v>
      </c>
      <c r="J12" s="6">
        <v>2</v>
      </c>
      <c r="K12" s="6">
        <v>4</v>
      </c>
      <c r="L12" s="6">
        <v>1</v>
      </c>
      <c r="M12" s="10">
        <f>((C12-1)+(5-D12)+(E12-1)+(5-F12)+(G12-1)+(5-H12)+(I12-1)+(5-J12)+(K12-1)+(5-L12))*2.5</f>
        <v>0</v>
      </c>
      <c r="N12" s="4" t="s">
        <v>92</v>
      </c>
      <c r="O12" s="7" t="s">
        <v>93</v>
      </c>
    </row>
    <row r="13" spans="1:15">
      <c r="A13" s="4" t="s">
        <v>107</v>
      </c>
      <c r="B13" s="5" t="s">
        <v>95</v>
      </c>
      <c r="C13" s="6">
        <v>5</v>
      </c>
      <c r="D13" s="6">
        <v>2</v>
      </c>
      <c r="E13" s="6">
        <v>5</v>
      </c>
      <c r="F13" s="6">
        <v>1</v>
      </c>
      <c r="G13" s="6">
        <v>4</v>
      </c>
      <c r="H13" s="6">
        <v>1</v>
      </c>
      <c r="I13" s="6">
        <v>4</v>
      </c>
      <c r="J13" s="6">
        <v>1</v>
      </c>
      <c r="K13" s="6">
        <v>5</v>
      </c>
      <c r="L13" s="6">
        <v>2</v>
      </c>
      <c r="M13" s="10">
        <f>((C13-1)+(5-D13)+(E13-1)+(5-F13)+(G13-1)+(5-H13)+(I13-1)+(5-J13)+(K13-1)+(5-L13))*2.5</f>
        <v>0</v>
      </c>
      <c r="N13" s="4" t="s">
        <v>92</v>
      </c>
      <c r="O13" s="7" t="s">
        <v>93</v>
      </c>
    </row>
    <row r="14" spans="1:15">
      <c r="A14" s="4" t="s">
        <v>108</v>
      </c>
      <c r="B14" s="5" t="s">
        <v>97</v>
      </c>
      <c r="C14" s="6">
        <v>5</v>
      </c>
      <c r="D14" s="6">
        <v>1</v>
      </c>
      <c r="E14" s="6">
        <v>5</v>
      </c>
      <c r="F14" s="6">
        <v>1</v>
      </c>
      <c r="G14" s="6">
        <v>5</v>
      </c>
      <c r="H14" s="6">
        <v>1</v>
      </c>
      <c r="I14" s="6">
        <v>5</v>
      </c>
      <c r="J14" s="6">
        <v>1</v>
      </c>
      <c r="K14" s="6">
        <v>5</v>
      </c>
      <c r="L14" s="6">
        <v>1</v>
      </c>
      <c r="M14" s="10">
        <f>((C14-1)+(5-D14)+(E14-1)+(5-F14)+(G14-1)+(5-H14)+(I14-1)+(5-J14)+(K14-1)+(5-L14))*2.5</f>
        <v>0</v>
      </c>
      <c r="N14" s="4" t="s">
        <v>84</v>
      </c>
      <c r="O14" s="7" t="s">
        <v>85</v>
      </c>
    </row>
    <row r="15" spans="1:15">
      <c r="A15" s="4" t="s">
        <v>109</v>
      </c>
      <c r="B15" s="5" t="s">
        <v>99</v>
      </c>
      <c r="C15" s="6">
        <v>4</v>
      </c>
      <c r="D15" s="6">
        <v>2</v>
      </c>
      <c r="E15" s="6">
        <v>4</v>
      </c>
      <c r="F15" s="6">
        <v>2</v>
      </c>
      <c r="G15" s="6">
        <v>4</v>
      </c>
      <c r="H15" s="6">
        <v>2</v>
      </c>
      <c r="I15" s="6">
        <v>4</v>
      </c>
      <c r="J15" s="6">
        <v>2</v>
      </c>
      <c r="K15" s="6">
        <v>4</v>
      </c>
      <c r="L15" s="6">
        <v>2</v>
      </c>
      <c r="M15" s="10">
        <f>((C15-1)+(5-D15)+(E15-1)+(5-F15)+(G15-1)+(5-H15)+(I15-1)+(5-J15)+(K15-1)+(5-L15))*2.5</f>
        <v>0</v>
      </c>
      <c r="N15" s="4" t="s">
        <v>100</v>
      </c>
      <c r="O15" s="4" t="s">
        <v>101</v>
      </c>
    </row>
    <row r="16" spans="1:15">
      <c r="A16" s="4" t="s">
        <v>110</v>
      </c>
      <c r="B16" s="5" t="s">
        <v>83</v>
      </c>
      <c r="C16" s="6">
        <v>5</v>
      </c>
      <c r="D16" s="6">
        <v>1</v>
      </c>
      <c r="E16" s="6">
        <v>5</v>
      </c>
      <c r="F16" s="6">
        <v>1</v>
      </c>
      <c r="G16" s="6">
        <v>4</v>
      </c>
      <c r="H16" s="6">
        <v>1</v>
      </c>
      <c r="I16" s="6">
        <v>5</v>
      </c>
      <c r="J16" s="6">
        <v>1</v>
      </c>
      <c r="K16" s="6">
        <v>5</v>
      </c>
      <c r="L16" s="6">
        <v>1</v>
      </c>
      <c r="M16" s="10">
        <f>((C16-1)+(5-D16)+(E16-1)+(5-F16)+(G16-1)+(5-H16)+(I16-1)+(5-J16)+(K16-1)+(5-L16))*2.5</f>
        <v>0</v>
      </c>
      <c r="N16" s="4" t="s">
        <v>92</v>
      </c>
      <c r="O16" s="7" t="s">
        <v>93</v>
      </c>
    </row>
    <row r="17" spans="1:15">
      <c r="A17" s="4" t="s">
        <v>111</v>
      </c>
      <c r="B17" s="5" t="s">
        <v>87</v>
      </c>
      <c r="C17" s="6">
        <v>5</v>
      </c>
      <c r="D17" s="6">
        <v>1</v>
      </c>
      <c r="E17" s="6">
        <v>4</v>
      </c>
      <c r="F17" s="6">
        <v>1</v>
      </c>
      <c r="G17" s="6">
        <v>4</v>
      </c>
      <c r="H17" s="6">
        <v>1</v>
      </c>
      <c r="I17" s="6">
        <v>5</v>
      </c>
      <c r="J17" s="6">
        <v>1</v>
      </c>
      <c r="K17" s="6">
        <v>4</v>
      </c>
      <c r="L17" s="6">
        <v>2</v>
      </c>
      <c r="M17" s="10">
        <f>((C17-1)+(5-D17)+(E17-1)+(5-F17)+(G17-1)+(5-H17)+(I17-1)+(5-J17)+(K17-1)+(5-L17))*2.5</f>
        <v>0</v>
      </c>
      <c r="N17" s="4" t="s">
        <v>92</v>
      </c>
      <c r="O17" s="7" t="s">
        <v>93</v>
      </c>
    </row>
    <row r="18" spans="1:15">
      <c r="A18" s="4" t="s">
        <v>112</v>
      </c>
      <c r="B18" s="5" t="s">
        <v>95</v>
      </c>
      <c r="C18" s="6">
        <v>5</v>
      </c>
      <c r="D18" s="6">
        <v>2</v>
      </c>
      <c r="E18" s="6">
        <v>5</v>
      </c>
      <c r="F18" s="6">
        <v>1</v>
      </c>
      <c r="G18" s="6">
        <v>5</v>
      </c>
      <c r="H18" s="6">
        <v>1</v>
      </c>
      <c r="I18" s="6">
        <v>5</v>
      </c>
      <c r="J18" s="6">
        <v>1</v>
      </c>
      <c r="K18" s="6">
        <v>5</v>
      </c>
      <c r="L18" s="6">
        <v>1</v>
      </c>
      <c r="M18" s="10">
        <f>((C18-1)+(5-D18)+(E18-1)+(5-F18)+(G18-1)+(5-H18)+(I18-1)+(5-J18)+(K18-1)+(5-L18))*2.5</f>
        <v>0</v>
      </c>
      <c r="N18" s="4" t="s">
        <v>92</v>
      </c>
      <c r="O18" s="7" t="s">
        <v>93</v>
      </c>
    </row>
    <row r="19" spans="1:15">
      <c r="A19" s="8" t="s">
        <v>113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>
        <f>AVERAGE(M4:M18)</f>
        <v>0</v>
      </c>
      <c r="N19" s="7" t="s">
        <v>114</v>
      </c>
      <c r="O19" s="7" t="s">
        <v>115</v>
      </c>
    </row>
    <row r="20" spans="1:15">
      <c r="A20" s="8" t="s">
        <v>116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>
        <v>68</v>
      </c>
      <c r="N20" s="8" t="s">
        <v>117</v>
      </c>
      <c r="O20" s="8" t="s">
        <v>101</v>
      </c>
    </row>
    <row r="21" spans="1:15">
      <c r="A21" s="8" t="s">
        <v>118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1">
        <f>COUNTIF(M4:M18, "&gt;=80")/COUNT(M4:M18)</f>
        <v>0</v>
      </c>
      <c r="N21" s="8" t="s">
        <v>119</v>
      </c>
      <c r="O21" s="8"/>
    </row>
  </sheetData>
  <mergeCells count="6">
    <mergeCell ref="A1:O1"/>
    <mergeCell ref="A2:O2"/>
    <mergeCell ref="A19:L19"/>
    <mergeCell ref="A20:L20"/>
    <mergeCell ref="A21:L21"/>
    <mergeCell ref="N21:O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2.7109375" customWidth="1"/>
    <col min="2" max="2" width="28.7109375" customWidth="1"/>
    <col min="3" max="3" width="16.7109375" customWidth="1"/>
    <col min="4" max="4" width="24.7109375" customWidth="1"/>
    <col min="5" max="6" width="36.7109375" customWidth="1"/>
    <col min="7" max="7" width="14.7109375" customWidth="1"/>
  </cols>
  <sheetData>
    <row r="1" spans="1:7">
      <c r="A1" s="1" t="s">
        <v>120</v>
      </c>
      <c r="B1" s="1"/>
      <c r="C1" s="1"/>
      <c r="D1" s="1"/>
      <c r="E1" s="1"/>
      <c r="F1" s="1"/>
      <c r="G1" s="1"/>
    </row>
    <row r="2" spans="1:7">
      <c r="A2" s="2" t="s">
        <v>121</v>
      </c>
      <c r="B2" s="2"/>
      <c r="C2" s="2"/>
      <c r="D2" s="2"/>
      <c r="E2" s="2"/>
      <c r="F2" s="2"/>
      <c r="G2" s="2"/>
    </row>
    <row r="3" spans="1:7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58</v>
      </c>
    </row>
    <row r="4" spans="1:7">
      <c r="A4" s="4" t="s">
        <v>128</v>
      </c>
      <c r="B4" s="5" t="s">
        <v>129</v>
      </c>
      <c r="C4" s="4" t="s">
        <v>130</v>
      </c>
      <c r="D4" s="5" t="s">
        <v>131</v>
      </c>
      <c r="E4" s="5" t="s">
        <v>132</v>
      </c>
      <c r="F4" s="5" t="s">
        <v>133</v>
      </c>
      <c r="G4" s="7" t="s">
        <v>11</v>
      </c>
    </row>
    <row r="5" spans="1:7">
      <c r="A5" s="4" t="s">
        <v>134</v>
      </c>
      <c r="B5" s="5" t="s">
        <v>135</v>
      </c>
      <c r="C5" s="4" t="s">
        <v>136</v>
      </c>
      <c r="D5" s="5" t="s">
        <v>137</v>
      </c>
      <c r="E5" s="5" t="s">
        <v>138</v>
      </c>
      <c r="F5" s="5" t="s">
        <v>139</v>
      </c>
      <c r="G5" s="7" t="s">
        <v>11</v>
      </c>
    </row>
    <row r="6" spans="1:7">
      <c r="A6" s="4" t="s">
        <v>140</v>
      </c>
      <c r="B6" s="5" t="s">
        <v>12</v>
      </c>
      <c r="C6" s="4" t="s">
        <v>130</v>
      </c>
      <c r="D6" s="5" t="s">
        <v>141</v>
      </c>
      <c r="E6" s="5" t="s">
        <v>142</v>
      </c>
      <c r="F6" s="5" t="s">
        <v>143</v>
      </c>
      <c r="G6" s="7" t="s">
        <v>11</v>
      </c>
    </row>
    <row r="7" spans="1:7">
      <c r="A7" s="4" t="s">
        <v>144</v>
      </c>
      <c r="B7" s="5" t="s">
        <v>145</v>
      </c>
      <c r="C7" s="4" t="s">
        <v>136</v>
      </c>
      <c r="D7" s="5" t="s">
        <v>146</v>
      </c>
      <c r="E7" s="5" t="s">
        <v>147</v>
      </c>
      <c r="F7" s="5" t="s">
        <v>148</v>
      </c>
      <c r="G7" s="7" t="s">
        <v>11</v>
      </c>
    </row>
    <row r="8" spans="1:7">
      <c r="A8" s="4" t="s">
        <v>149</v>
      </c>
      <c r="B8" s="5" t="s">
        <v>150</v>
      </c>
      <c r="C8" s="4" t="s">
        <v>136</v>
      </c>
      <c r="D8" s="5" t="s">
        <v>151</v>
      </c>
      <c r="E8" s="5" t="s">
        <v>152</v>
      </c>
      <c r="F8" s="5" t="s">
        <v>153</v>
      </c>
      <c r="G8" s="7" t="s">
        <v>11</v>
      </c>
    </row>
    <row r="9" spans="1:7">
      <c r="A9" s="4" t="s">
        <v>154</v>
      </c>
      <c r="B9" s="5" t="s">
        <v>155</v>
      </c>
      <c r="C9" s="4" t="s">
        <v>156</v>
      </c>
      <c r="D9" s="5" t="s">
        <v>157</v>
      </c>
      <c r="E9" s="5" t="s">
        <v>158</v>
      </c>
      <c r="F9" s="5" t="s">
        <v>159</v>
      </c>
      <c r="G9" s="7" t="s">
        <v>11</v>
      </c>
    </row>
    <row r="10" spans="1:7">
      <c r="A10" s="4" t="s">
        <v>160</v>
      </c>
      <c r="B10" s="5" t="s">
        <v>161</v>
      </c>
      <c r="C10" s="4" t="s">
        <v>156</v>
      </c>
      <c r="D10" s="5" t="s">
        <v>162</v>
      </c>
      <c r="E10" s="5" t="s">
        <v>163</v>
      </c>
      <c r="F10" s="5" t="s">
        <v>164</v>
      </c>
      <c r="G10" s="7" t="s">
        <v>11</v>
      </c>
    </row>
    <row r="11" spans="1:7">
      <c r="A11" s="4" t="s">
        <v>165</v>
      </c>
      <c r="B11" s="5" t="s">
        <v>166</v>
      </c>
      <c r="C11" s="4" t="s">
        <v>156</v>
      </c>
      <c r="D11" s="5" t="s">
        <v>167</v>
      </c>
      <c r="E11" s="5" t="s">
        <v>168</v>
      </c>
      <c r="F11" s="5" t="s">
        <v>169</v>
      </c>
      <c r="G11" s="7" t="s">
        <v>11</v>
      </c>
    </row>
    <row r="12" spans="1:7">
      <c r="A12" s="4" t="s">
        <v>170</v>
      </c>
      <c r="B12" s="5" t="s">
        <v>171</v>
      </c>
      <c r="C12" s="4" t="s">
        <v>156</v>
      </c>
      <c r="D12" s="5" t="s">
        <v>172</v>
      </c>
      <c r="E12" s="5" t="s">
        <v>173</v>
      </c>
      <c r="F12" s="5" t="s">
        <v>174</v>
      </c>
      <c r="G12" s="7" t="s">
        <v>11</v>
      </c>
    </row>
    <row r="13" spans="1:7">
      <c r="A13" s="4" t="s">
        <v>175</v>
      </c>
      <c r="B13" s="5" t="s">
        <v>176</v>
      </c>
      <c r="C13" s="4" t="s">
        <v>177</v>
      </c>
      <c r="D13" s="5" t="s">
        <v>178</v>
      </c>
      <c r="E13" s="5" t="s">
        <v>179</v>
      </c>
      <c r="F13" s="5" t="s">
        <v>180</v>
      </c>
      <c r="G13" s="7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Trigger_Latency_Trials</vt:lpstr>
      <vt:lpstr>Cellular_SMS_Trials</vt:lpstr>
      <vt:lpstr>GPS_Spatial_Accuracy</vt:lpstr>
      <vt:lpstr>SUS_Usability_Evaluation</vt:lpstr>
      <vt:lpstr>Functional_Test_Cases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2026-09-04T13:14:56Z</dcterms:created>
  <dcterms:modified xsi:type="dcterms:W3CDTF">2026-09-04T13:14:56Z</dcterms:modified>
</cp:coreProperties>
</file>