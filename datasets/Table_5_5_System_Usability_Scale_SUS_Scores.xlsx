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S_Scores" sheetId="1" r:id="rId1"/>
  </sheets>
  <calcPr calcId="124519" fullCalcOnLoad="1"/>
</workbook>
</file>

<file path=xl/sharedStrings.xml><?xml version="1.0" encoding="utf-8"?>
<sst xmlns="http://schemas.openxmlformats.org/spreadsheetml/2006/main" count="79" uniqueCount="50">
  <si>
    <t>Table 5.5: Standard System Usability Scale (SUS) Responses &amp; Score Distribution (N = 15)</t>
  </si>
  <si>
    <t>Participant</t>
  </si>
  <si>
    <t>Commuter Profile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</si>
  <si>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</si>
  <si>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</si>
  <si>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</si>
  <si>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</si>
  <si>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</si>
  <si>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</si>
  <si>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</si>
  <si>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</si>
  <si>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</si>
  <si>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</si>
  <si>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Calculated SUS Score</t>
  </si>
  <si>
    <t>Adjective Usability Rating</t>
  </si>
  <si>
    <t>SUS Grade</t>
  </si>
  <si>
    <t>P01</t>
  </si>
  <si>
    <t>Student (Daily Commuter)</t>
  </si>
  <si>
    <t>Best Imaginable</t>
  </si>
  <si>
    <t>Grade A+</t>
  </si>
  <si>
    <t>P02</t>
  </si>
  <si>
    <t>Working (2–3 times/week)</t>
  </si>
  <si>
    <t>Good</t>
  </si>
  <si>
    <t>Grade B</t>
  </si>
  <si>
    <t>P03</t>
  </si>
  <si>
    <t>Student (Weekly Commuter)</t>
  </si>
  <si>
    <t>Excellent</t>
  </si>
  <si>
    <t>Grade A</t>
  </si>
  <si>
    <t>P04</t>
  </si>
  <si>
    <t>Commuter (Daily Semi-Lux)</t>
  </si>
  <si>
    <t>P05</t>
  </si>
  <si>
    <t>Working (Daily Luxury Bus)</t>
  </si>
  <si>
    <t>P06</t>
  </si>
  <si>
    <t>Occasional Bus Passenger</t>
  </si>
  <si>
    <t>OK / Acceptable</t>
  </si>
  <si>
    <t>Grade C</t>
  </si>
  <si>
    <t>P07</t>
  </si>
  <si>
    <t>P08</t>
  </si>
  <si>
    <t>Working (Daily Commuter)</t>
  </si>
  <si>
    <t>P09</t>
  </si>
  <si>
    <t>Student (2–3 times/week)</t>
  </si>
  <si>
    <t>P10</t>
  </si>
  <si>
    <t>P11</t>
  </si>
  <si>
    <t>P12</t>
  </si>
  <si>
    <t>P13</t>
  </si>
  <si>
    <t>P14</t>
  </si>
  <si>
    <t>P15</t>
  </si>
  <si>
    <t>SAFE Women Mean SUS Score:</t>
  </si>
  <si>
    <t>Excellent (96th %ile)</t>
  </si>
  <si>
    <t>GRADE 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</si>
</sst>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cols>
    <col min="1" max="1" width="14.7109375" customWidth="1"/>
    <col min="2" max="2" width="22.7109375" customWidth="1"/>
    <col min="3" max="12" width="6.7109375" customWidth="1"/>
    <col min="13" max="13" width="18.7109375" customWidth="1"/>
    <col min="14" max="14" width="22.7109375" customWidth="1"/>
    <col min="15" max="15" width="14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3" t="s">
        <v>16</v>
      </c>
      <c r="B3" s="4" t="s">
        <v>17</v>
      </c>
      <c r="C3" s="3">
        <v>5</v>
      </c>
      <c r="D3" s="3">
        <v>1</v>
      </c>
      <c r="E3" s="3">
        <v>5</v>
      </c>
      <c r="F3" s="3">
        <v>1</v>
      </c>
      <c r="G3" s="3">
        <v>5</v>
      </c>
      <c r="H3" s="3">
        <v>1</v>
      </c>
      <c r="I3" s="3">
        <v>5</v>
      </c>
      <c r="J3" s="3">
        <v>1</v>
      </c>
      <c r="K3" s="3">
        <v>5</v>
      </c>
      <c r="L3" s="3">
        <v>1</v>
      </c>
      <c r="M3" s="3">
        <f>((C3-1)+(5-D3)+(E3-1)+(5-F3)+(G3-1)+(5-H3)+(I3-1)+(5-J3)+(K3-1)+(5-L3))*2.5</f>
        <v>0</v>
      </c>
      <c r="N3" s="3" t="s">
        <v>18</v>
      </c>
      <c r="O3" s="5" t="s">
        <v>19</v>
      </c>
    </row>
    <row r="4" spans="1:15">
      <c r="A4" s="3" t="s">
        <v>20</v>
      </c>
      <c r="B4" s="4" t="s">
        <v>21</v>
      </c>
      <c r="C4" s="3">
        <v>4</v>
      </c>
      <c r="D4" s="3">
        <v>2</v>
      </c>
      <c r="E4" s="3">
        <v>4</v>
      </c>
      <c r="F4" s="3">
        <v>1</v>
      </c>
      <c r="G4" s="3">
        <v>4</v>
      </c>
      <c r="H4" s="3">
        <v>2</v>
      </c>
      <c r="I4" s="3">
        <v>4</v>
      </c>
      <c r="J4" s="3">
        <v>1</v>
      </c>
      <c r="K4" s="3">
        <v>4</v>
      </c>
      <c r="L4" s="3">
        <v>2</v>
      </c>
      <c r="M4" s="3">
        <f>((C4-1)+(5-D4)+(E4-1)+(5-F4)+(G4-1)+(5-H4)+(I4-1)+(5-J4)+(K4-1)+(5-L4))*2.5</f>
        <v>0</v>
      </c>
      <c r="N4" s="3" t="s">
        <v>22</v>
      </c>
      <c r="O4" s="3" t="s">
        <v>23</v>
      </c>
    </row>
    <row r="5" spans="1:15">
      <c r="A5" s="3" t="s">
        <v>24</v>
      </c>
      <c r="B5" s="4" t="s">
        <v>25</v>
      </c>
      <c r="C5" s="3">
        <v>5</v>
      </c>
      <c r="D5" s="3">
        <v>1</v>
      </c>
      <c r="E5" s="3">
        <v>5</v>
      </c>
      <c r="F5" s="3">
        <v>2</v>
      </c>
      <c r="G5" s="3">
        <v>4</v>
      </c>
      <c r="H5" s="3">
        <v>1</v>
      </c>
      <c r="I5" s="3">
        <v>5</v>
      </c>
      <c r="J5" s="3">
        <v>2</v>
      </c>
      <c r="K5" s="3">
        <v>5</v>
      </c>
      <c r="L5" s="3">
        <v>1</v>
      </c>
      <c r="M5" s="3">
        <f>((C5-1)+(5-D5)+(E5-1)+(5-F5)+(G5-1)+(5-H5)+(I5-1)+(5-J5)+(K5-1)+(5-L5))*2.5</f>
        <v>0</v>
      </c>
      <c r="N5" s="3" t="s">
        <v>26</v>
      </c>
      <c r="O5" s="5" t="s">
        <v>27</v>
      </c>
    </row>
    <row r="6" spans="1:15">
      <c r="A6" s="3" t="s">
        <v>28</v>
      </c>
      <c r="B6" s="4" t="s">
        <v>29</v>
      </c>
      <c r="C6" s="3">
        <v>5</v>
      </c>
      <c r="D6" s="3">
        <v>2</v>
      </c>
      <c r="E6" s="3">
        <v>4</v>
      </c>
      <c r="F6" s="3">
        <v>1</v>
      </c>
      <c r="G6" s="3">
        <v>5</v>
      </c>
      <c r="H6" s="3">
        <v>1</v>
      </c>
      <c r="I6" s="3">
        <v>5</v>
      </c>
      <c r="J6" s="3">
        <v>1</v>
      </c>
      <c r="K6" s="3">
        <v>4</v>
      </c>
      <c r="L6" s="3">
        <v>2</v>
      </c>
      <c r="M6" s="3">
        <f>((C6-1)+(5-D6)+(E6-1)+(5-F6)+(G6-1)+(5-H6)+(I6-1)+(5-J6)+(K6-1)+(5-L6))*2.5</f>
        <v>0</v>
      </c>
      <c r="N6" s="3" t="s">
        <v>26</v>
      </c>
      <c r="O6" s="5" t="s">
        <v>27</v>
      </c>
    </row>
    <row r="7" spans="1:15">
      <c r="A7" s="3" t="s">
        <v>30</v>
      </c>
      <c r="B7" s="4" t="s">
        <v>31</v>
      </c>
      <c r="C7" s="3">
        <v>5</v>
      </c>
      <c r="D7" s="3">
        <v>1</v>
      </c>
      <c r="E7" s="3">
        <v>5</v>
      </c>
      <c r="F7" s="3">
        <v>1</v>
      </c>
      <c r="G7" s="3">
        <v>4</v>
      </c>
      <c r="H7" s="3">
        <v>1</v>
      </c>
      <c r="I7" s="3">
        <v>5</v>
      </c>
      <c r="J7" s="3">
        <v>1</v>
      </c>
      <c r="K7" s="3">
        <v>5</v>
      </c>
      <c r="L7" s="3">
        <v>1</v>
      </c>
      <c r="M7" s="3">
        <f>((C7-1)+(5-D7)+(E7-1)+(5-F7)+(G7-1)+(5-H7)+(I7-1)+(5-J7)+(K7-1)+(5-L7))*2.5</f>
        <v>0</v>
      </c>
      <c r="N7" s="3" t="s">
        <v>26</v>
      </c>
      <c r="O7" s="5" t="s">
        <v>27</v>
      </c>
    </row>
    <row r="8" spans="1:15">
      <c r="A8" s="3" t="s">
        <v>32</v>
      </c>
      <c r="B8" s="4" t="s">
        <v>33</v>
      </c>
      <c r="C8" s="3">
        <v>4</v>
      </c>
      <c r="D8" s="3">
        <v>2</v>
      </c>
      <c r="E8" s="3">
        <v>4</v>
      </c>
      <c r="F8" s="3">
        <v>2</v>
      </c>
      <c r="G8" s="3">
        <v>4</v>
      </c>
      <c r="H8" s="3">
        <v>2</v>
      </c>
      <c r="I8" s="3">
        <v>4</v>
      </c>
      <c r="J8" s="3">
        <v>2</v>
      </c>
      <c r="K8" s="3">
        <v>4</v>
      </c>
      <c r="L8" s="3">
        <v>2</v>
      </c>
      <c r="M8" s="3">
        <f>((C8-1)+(5-D8)+(E8-1)+(5-F8)+(G8-1)+(5-H8)+(I8-1)+(5-J8)+(K8-1)+(5-L8))*2.5</f>
        <v>0</v>
      </c>
      <c r="N8" s="3" t="s">
        <v>34</v>
      </c>
      <c r="O8" s="3" t="s">
        <v>35</v>
      </c>
    </row>
    <row r="9" spans="1:15">
      <c r="A9" s="3" t="s">
        <v>36</v>
      </c>
      <c r="B9" s="4" t="s">
        <v>17</v>
      </c>
      <c r="C9" s="3">
        <v>5</v>
      </c>
      <c r="D9" s="3">
        <v>1</v>
      </c>
      <c r="E9" s="3">
        <v>5</v>
      </c>
      <c r="F9" s="3">
        <v>1</v>
      </c>
      <c r="G9" s="3">
        <v>5</v>
      </c>
      <c r="H9" s="3">
        <v>1</v>
      </c>
      <c r="I9" s="3">
        <v>5</v>
      </c>
      <c r="J9" s="3">
        <v>1</v>
      </c>
      <c r="K9" s="3">
        <v>5</v>
      </c>
      <c r="L9" s="3">
        <v>1</v>
      </c>
      <c r="M9" s="3">
        <f>((C9-1)+(5-D9)+(E9-1)+(5-F9)+(G9-1)+(5-H9)+(I9-1)+(5-J9)+(K9-1)+(5-L9))*2.5</f>
        <v>0</v>
      </c>
      <c r="N9" s="3" t="s">
        <v>18</v>
      </c>
      <c r="O9" s="5" t="s">
        <v>19</v>
      </c>
    </row>
    <row r="10" spans="1:15">
      <c r="A10" s="3" t="s">
        <v>37</v>
      </c>
      <c r="B10" s="4" t="s">
        <v>38</v>
      </c>
      <c r="C10" s="3">
        <v>5</v>
      </c>
      <c r="D10" s="3">
        <v>1</v>
      </c>
      <c r="E10" s="3">
        <v>4</v>
      </c>
      <c r="F10" s="3">
        <v>1</v>
      </c>
      <c r="G10" s="3">
        <v>4</v>
      </c>
      <c r="H10" s="3">
        <v>2</v>
      </c>
      <c r="I10" s="3">
        <v>4</v>
      </c>
      <c r="J10" s="3">
        <v>1</v>
      </c>
      <c r="K10" s="3">
        <v>5</v>
      </c>
      <c r="L10" s="3">
        <v>1</v>
      </c>
      <c r="M10" s="3">
        <f>((C10-1)+(5-D10)+(E10-1)+(5-F10)+(G10-1)+(5-H10)+(I10-1)+(5-J10)+(K10-1)+(5-L10))*2.5</f>
        <v>0</v>
      </c>
      <c r="N10" s="3" t="s">
        <v>26</v>
      </c>
      <c r="O10" s="5" t="s">
        <v>27</v>
      </c>
    </row>
    <row r="11" spans="1:15">
      <c r="A11" s="3" t="s">
        <v>39</v>
      </c>
      <c r="B11" s="4" t="s">
        <v>40</v>
      </c>
      <c r="C11" s="3">
        <v>4</v>
      </c>
      <c r="D11" s="3">
        <v>1</v>
      </c>
      <c r="E11" s="3">
        <v>5</v>
      </c>
      <c r="F11" s="3">
        <v>2</v>
      </c>
      <c r="G11" s="3">
        <v>5</v>
      </c>
      <c r="H11" s="3">
        <v>1</v>
      </c>
      <c r="I11" s="3">
        <v>5</v>
      </c>
      <c r="J11" s="3">
        <v>2</v>
      </c>
      <c r="K11" s="3">
        <v>4</v>
      </c>
      <c r="L11" s="3">
        <v>1</v>
      </c>
      <c r="M11" s="3">
        <f>((C11-1)+(5-D11)+(E11-1)+(5-F11)+(G11-1)+(5-H11)+(I11-1)+(5-J11)+(K11-1)+(5-L11))*2.5</f>
        <v>0</v>
      </c>
      <c r="N11" s="3" t="s">
        <v>26</v>
      </c>
      <c r="O11" s="5" t="s">
        <v>27</v>
      </c>
    </row>
    <row r="12" spans="1:15">
      <c r="A12" s="3" t="s">
        <v>41</v>
      </c>
      <c r="B12" s="4" t="s">
        <v>29</v>
      </c>
      <c r="C12" s="3">
        <v>5</v>
      </c>
      <c r="D12" s="3">
        <v>2</v>
      </c>
      <c r="E12" s="3">
        <v>5</v>
      </c>
      <c r="F12" s="3">
        <v>1</v>
      </c>
      <c r="G12" s="3">
        <v>4</v>
      </c>
      <c r="H12" s="3">
        <v>1</v>
      </c>
      <c r="I12" s="3">
        <v>4</v>
      </c>
      <c r="J12" s="3">
        <v>1</v>
      </c>
      <c r="K12" s="3">
        <v>5</v>
      </c>
      <c r="L12" s="3">
        <v>2</v>
      </c>
      <c r="M12" s="3">
        <f>((C12-1)+(5-D12)+(E12-1)+(5-F12)+(G12-1)+(5-H12)+(I12-1)+(5-J12)+(K12-1)+(5-L12))*2.5</f>
        <v>0</v>
      </c>
      <c r="N12" s="3" t="s">
        <v>26</v>
      </c>
      <c r="O12" s="5" t="s">
        <v>27</v>
      </c>
    </row>
    <row r="13" spans="1:15">
      <c r="A13" s="3" t="s">
        <v>42</v>
      </c>
      <c r="B13" s="4" t="s">
        <v>31</v>
      </c>
      <c r="C13" s="3">
        <v>5</v>
      </c>
      <c r="D13" s="3">
        <v>1</v>
      </c>
      <c r="E13" s="3">
        <v>5</v>
      </c>
      <c r="F13" s="3">
        <v>1</v>
      </c>
      <c r="G13" s="3">
        <v>5</v>
      </c>
      <c r="H13" s="3">
        <v>1</v>
      </c>
      <c r="I13" s="3">
        <v>5</v>
      </c>
      <c r="J13" s="3">
        <v>1</v>
      </c>
      <c r="K13" s="3">
        <v>5</v>
      </c>
      <c r="L13" s="3">
        <v>1</v>
      </c>
      <c r="M13" s="3">
        <f>((C13-1)+(5-D13)+(E13-1)+(5-F13)+(G13-1)+(5-H13)+(I13-1)+(5-J13)+(K13-1)+(5-L13))*2.5</f>
        <v>0</v>
      </c>
      <c r="N13" s="3" t="s">
        <v>18</v>
      </c>
      <c r="O13" s="5" t="s">
        <v>19</v>
      </c>
    </row>
    <row r="14" spans="1:15">
      <c r="A14" s="3" t="s">
        <v>43</v>
      </c>
      <c r="B14" s="4" t="s">
        <v>33</v>
      </c>
      <c r="C14" s="3">
        <v>4</v>
      </c>
      <c r="D14" s="3">
        <v>2</v>
      </c>
      <c r="E14" s="3">
        <v>4</v>
      </c>
      <c r="F14" s="3">
        <v>2</v>
      </c>
      <c r="G14" s="3">
        <v>4</v>
      </c>
      <c r="H14" s="3">
        <v>2</v>
      </c>
      <c r="I14" s="3">
        <v>4</v>
      </c>
      <c r="J14" s="3">
        <v>2</v>
      </c>
      <c r="K14" s="3">
        <v>4</v>
      </c>
      <c r="L14" s="3">
        <v>2</v>
      </c>
      <c r="M14" s="3">
        <f>((C14-1)+(5-D14)+(E14-1)+(5-F14)+(G14-1)+(5-H14)+(I14-1)+(5-J14)+(K14-1)+(5-L14))*2.5</f>
        <v>0</v>
      </c>
      <c r="N14" s="3" t="s">
        <v>34</v>
      </c>
      <c r="O14" s="3" t="s">
        <v>35</v>
      </c>
    </row>
    <row r="15" spans="1:15">
      <c r="A15" s="3" t="s">
        <v>44</v>
      </c>
      <c r="B15" s="4" t="s">
        <v>17</v>
      </c>
      <c r="C15" s="3">
        <v>5</v>
      </c>
      <c r="D15" s="3">
        <v>1</v>
      </c>
      <c r="E15" s="3">
        <v>5</v>
      </c>
      <c r="F15" s="3">
        <v>1</v>
      </c>
      <c r="G15" s="3">
        <v>4</v>
      </c>
      <c r="H15" s="3">
        <v>1</v>
      </c>
      <c r="I15" s="3">
        <v>5</v>
      </c>
      <c r="J15" s="3">
        <v>1</v>
      </c>
      <c r="K15" s="3">
        <v>5</v>
      </c>
      <c r="L15" s="3">
        <v>1</v>
      </c>
      <c r="M15" s="3">
        <f>((C15-1)+(5-D15)+(E15-1)+(5-F15)+(G15-1)+(5-H15)+(I15-1)+(5-J15)+(K15-1)+(5-L15))*2.5</f>
        <v>0</v>
      </c>
      <c r="N15" s="3" t="s">
        <v>26</v>
      </c>
      <c r="O15" s="5" t="s">
        <v>27</v>
      </c>
    </row>
    <row r="16" spans="1:15">
      <c r="A16" s="3" t="s">
        <v>45</v>
      </c>
      <c r="B16" s="4" t="s">
        <v>21</v>
      </c>
      <c r="C16" s="3">
        <v>5</v>
      </c>
      <c r="D16" s="3">
        <v>1</v>
      </c>
      <c r="E16" s="3">
        <v>4</v>
      </c>
      <c r="F16" s="3">
        <v>1</v>
      </c>
      <c r="G16" s="3">
        <v>4</v>
      </c>
      <c r="H16" s="3">
        <v>1</v>
      </c>
      <c r="I16" s="3">
        <v>5</v>
      </c>
      <c r="J16" s="3">
        <v>1</v>
      </c>
      <c r="K16" s="3">
        <v>4</v>
      </c>
      <c r="L16" s="3">
        <v>2</v>
      </c>
      <c r="M16" s="3">
        <f>((C16-1)+(5-D16)+(E16-1)+(5-F16)+(G16-1)+(5-H16)+(I16-1)+(5-J16)+(K16-1)+(5-L16))*2.5</f>
        <v>0</v>
      </c>
      <c r="N16" s="3" t="s">
        <v>26</v>
      </c>
      <c r="O16" s="5" t="s">
        <v>27</v>
      </c>
    </row>
    <row r="17" spans="1:15">
      <c r="A17" s="6" t="s">
        <v>47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7">
        <f>AVERAGE(M3:M17)</f>
        <v>0</v>
      </c>
      <c r="N17" s="5" t="s">
        <v>48</v>
      </c>
      <c r="O17" s="5" t="s">
        <v>49</v>
      </c>
    </row>
  </sheetData>
  <mergeCells count="2">
    <mergeCell ref="A1:O1"/>
    <mergeCell ref="A17:L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SUS_Scores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2026-09-04T13:14:56Z</dcterms:created>
  <dcterms:modified xsi:type="dcterms:W3CDTF">2026-09-04T13:14:56Z</dcterms:modified>
</cp:coreProperties>
</file>